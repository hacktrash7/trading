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vs Actual" sheetId="1" state="visible" r:id="rId1"/>
    <sheet name="Transaction Log" sheetId="2" state="visible" r:id="rId2"/>
    <sheet name="June 2026 Baseline" sheetId="3" state="visible" r:id="rId3"/>
    <sheet name="Dashboard" sheetId="4" state="visible" r:id="rId4"/>
    <sheet name="Monthly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17" customWidth="1" min="4" max="4"/>
    <col width="15" customWidth="1" min="5" max="5"/>
    <col width="45" customWidth="1" min="6" max="6"/>
    <col width="45" customWidth="1" min="7" max="7"/>
  </cols>
  <sheetData>
    <row r="1">
      <c r="A1" s="1" t="inlineStr">
        <is>
          <t>Category</t>
        </is>
      </c>
      <c r="B1" s="1" t="inlineStr">
        <is>
          <t>June Actual (₹)</t>
        </is>
      </c>
      <c r="C1" s="1" t="inlineStr">
        <is>
          <t>Monthly Target (₹)</t>
        </is>
      </c>
      <c r="D1" s="1" t="inlineStr">
        <is>
          <t>Your Spend (₹)</t>
        </is>
      </c>
      <c r="E1" s="1" t="inlineStr">
        <is>
          <t>Variance (₹)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Investments (Zerodha)</t>
        </is>
      </c>
      <c r="B2" s="3" t="n">
        <v>71000</v>
      </c>
      <c r="C2" s="3" t="n">
        <v>120000</v>
      </c>
      <c r="D2" s="3" t="n">
        <v>0</v>
      </c>
      <c r="E2" s="3">
        <f>D2-C2</f>
        <v/>
      </c>
      <c r="F2" s="2">
        <f>IF(D2=0,"Enter spend",IF(E2&lt;=0,"✓ On track","⚠ Over"))</f>
        <v/>
      </c>
      <c r="G2" s="2" t="inlineStr">
        <is>
          <t>Transfer ₹1.2L to Zerodha on 1st–2nd of month</t>
        </is>
      </c>
    </row>
    <row r="3">
      <c r="A3" s="2" t="inlineStr">
        <is>
          <t>Family transfers</t>
        </is>
      </c>
      <c r="B3" s="3" t="n">
        <v>18060</v>
      </c>
      <c r="C3" s="3" t="n">
        <v>18000</v>
      </c>
      <c r="D3" s="3" t="n">
        <v>0</v>
      </c>
      <c r="E3" s="3">
        <f>D3-C3</f>
        <v/>
      </c>
      <c r="F3" s="2">
        <f>IF(D3=0,"Enter spend",IF(E3&lt;=0,"✓ On track","⚠ Over"))</f>
        <v/>
      </c>
      <c r="G3" s="2" t="inlineStr">
        <is>
          <t>Fixed obligation — budget as non-negotiable</t>
        </is>
      </c>
    </row>
    <row r="4">
      <c r="A4" s="2" t="inlineStr">
        <is>
          <t>Credit card payment</t>
        </is>
      </c>
      <c r="B4" s="3" t="n">
        <v>13180</v>
      </c>
      <c r="C4" s="3" t="n">
        <v>0</v>
      </c>
      <c r="D4" s="3" t="n">
        <v>0</v>
      </c>
      <c r="E4" s="3">
        <f>D4-C4</f>
        <v/>
      </c>
      <c r="F4" s="2">
        <f>IF(D4=0,"Enter spend",IF(E4&lt;=0,"✓ On track","⚠ Over"))</f>
        <v/>
      </c>
      <c r="G4" s="2" t="inlineStr">
        <is>
          <t>No CC bills — pay everything via UPI/debit</t>
        </is>
      </c>
    </row>
    <row r="5">
      <c r="A5" s="2" t="inlineStr">
        <is>
          <t>Pluxee — groceries (benefit)</t>
        </is>
      </c>
      <c r="B5" s="3" t="n">
        <v>0</v>
      </c>
      <c r="C5" s="3" t="n">
        <v>5600</v>
      </c>
      <c r="D5" s="3" t="n">
        <v>0</v>
      </c>
      <c r="E5" s="3">
        <f>D5-C5</f>
        <v/>
      </c>
      <c r="F5" s="2">
        <f>IF(D5=0,"Enter spend",IF(E5&lt;=0,"✓ On track","⚠ Over"))</f>
        <v/>
      </c>
      <c r="G5" s="2" t="inlineStr">
        <is>
          <t>₹4,400 + ₹1,200 loaded monthly; DMart/BigBasket only</t>
        </is>
      </c>
    </row>
    <row r="6">
      <c r="A6" s="2" t="inlineStr">
        <is>
          <t>Groceries (from salary)</t>
        </is>
      </c>
      <c r="B6" s="3" t="n">
        <v>2178</v>
      </c>
      <c r="C6" s="3" t="n">
        <v>0</v>
      </c>
      <c r="D6" s="3" t="n">
        <v>0</v>
      </c>
      <c r="E6" s="3">
        <f>D6-C6</f>
        <v/>
      </c>
      <c r="F6" s="2">
        <f>IF(D6=0,"Enter spend",IF(E6&lt;=0,"✓ On track","⚠ Over"))</f>
        <v/>
      </c>
      <c r="G6" s="2" t="inlineStr">
        <is>
          <t>Use Pluxee first; salary only if Pluxee exhausted</t>
        </is>
      </c>
    </row>
    <row r="7">
      <c r="A7" s="2" t="inlineStr">
        <is>
          <t>Restaurant dining</t>
        </is>
      </c>
      <c r="B7" s="3" t="n">
        <v>5253</v>
      </c>
      <c r="C7" s="3" t="n">
        <v>2500</v>
      </c>
      <c r="D7" s="3" t="n">
        <v>0</v>
      </c>
      <c r="E7" s="3">
        <f>D7-C7</f>
        <v/>
      </c>
      <c r="F7" s="2">
        <f>IF(D7=0,"Enter spend",IF(E7&lt;=0,"✓ On track","⚠ Over"))</f>
        <v/>
      </c>
      <c r="G7" s="2" t="inlineStr">
        <is>
          <t>Max 2 sit-down meals per month</t>
        </is>
      </c>
    </row>
    <row r="8">
      <c r="A8" s="2" t="inlineStr">
        <is>
          <t>Street food / canteen</t>
        </is>
      </c>
      <c r="B8" s="3" t="n">
        <v>3594</v>
      </c>
      <c r="C8" s="3" t="n">
        <v>2500</v>
      </c>
      <c r="D8" s="3" t="n">
        <v>0</v>
      </c>
      <c r="E8" s="3">
        <f>D8-C8</f>
        <v/>
      </c>
      <c r="F8" s="2">
        <f>IF(D8=0,"Enter spend",IF(E8&lt;=0,"✓ On track","⚠ Over"))</f>
        <v/>
      </c>
      <c r="G8" s="2" t="inlineStr">
        <is>
          <t>Office lunch — use Infosys cafeteria when possible</t>
        </is>
      </c>
    </row>
    <row r="9">
      <c r="A9" s="2" t="inlineStr">
        <is>
          <t>Desserts (Polar Bear etc.)</t>
        </is>
      </c>
      <c r="B9" s="3" t="n">
        <v>924</v>
      </c>
      <c r="C9" s="3" t="n">
        <v>300</v>
      </c>
      <c r="D9" s="3" t="n">
        <v>0</v>
      </c>
      <c r="E9" s="3">
        <f>D9-C9</f>
        <v/>
      </c>
      <c r="F9" s="2">
        <f>IF(D9=0,"Enter spend",IF(E9&lt;=0,"✓ On track","⚠ Over"))</f>
        <v/>
      </c>
      <c r="G9" s="2" t="inlineStr">
        <is>
          <t>Max 1 visit per month</t>
        </is>
      </c>
    </row>
    <row r="10">
      <c r="A10" s="2" t="inlineStr">
        <is>
          <t>Office snacks / tea</t>
        </is>
      </c>
      <c r="B10" s="3" t="n">
        <v>750</v>
      </c>
      <c r="C10" s="3" t="n">
        <v>300</v>
      </c>
      <c r="D10" s="3" t="n">
        <v>0</v>
      </c>
      <c r="E10" s="3">
        <f>D10-C10</f>
        <v/>
      </c>
      <c r="F10" s="2">
        <f>IF(D10=0,"Enter spend",IF(E10&lt;=0,"✓ On track","⚠ Over"))</f>
        <v/>
      </c>
      <c r="G10" s="2" t="inlineStr">
        <is>
          <t>Carry flask; avoid daily ₹35 UPI</t>
        </is>
      </c>
    </row>
    <row r="11">
      <c r="A11" s="2" t="inlineStr">
        <is>
          <t>Office cafe (Cowrks)</t>
        </is>
      </c>
      <c r="B11" s="3" t="n">
        <v>598</v>
      </c>
      <c r="C11" s="3" t="n">
        <v>200</v>
      </c>
      <c r="D11" s="3" t="n">
        <v>0</v>
      </c>
      <c r="E11" s="3">
        <f>D11-C11</f>
        <v/>
      </c>
      <c r="F11" s="2">
        <f>IF(D11=0,"Enter spend",IF(E11&lt;=0,"✓ On track","⚠ Over"))</f>
        <v/>
      </c>
      <c r="G11" s="2" t="inlineStr">
        <is>
          <t>Use only when necessary</t>
        </is>
      </c>
    </row>
    <row r="12">
      <c r="A12" s="2" t="inlineStr">
        <is>
          <t>Transport (Metro)</t>
        </is>
      </c>
      <c r="B12" s="3" t="n">
        <v>180</v>
      </c>
      <c r="C12" s="3" t="n">
        <v>200</v>
      </c>
      <c r="D12" s="3" t="n">
        <v>0</v>
      </c>
      <c r="E12" s="3">
        <f>D12-C12</f>
        <v/>
      </c>
      <c r="F12" s="2">
        <f>IF(D12=0,"Enter spend",IF(E12&lt;=0,"✓ On track","⚠ Over"))</f>
        <v/>
      </c>
      <c r="G12" s="2" t="inlineStr">
        <is>
          <t>Already optimal</t>
        </is>
      </c>
    </row>
    <row r="13">
      <c r="A13" s="2" t="inlineStr">
        <is>
          <t>Software subscriptions</t>
        </is>
      </c>
      <c r="B13" s="3" t="n">
        <v>2376</v>
      </c>
      <c r="C13" s="3" t="n">
        <v>1500</v>
      </c>
      <c r="D13" s="3" t="n">
        <v>0</v>
      </c>
      <c r="E13" s="3">
        <f>D13-C13</f>
        <v/>
      </c>
      <c r="F13" s="2">
        <f>IF(D13=0,"Enter spend",IF(E13&lt;=0,"✓ On track","⚠ Over"))</f>
        <v/>
      </c>
      <c r="G13" s="2" t="inlineStr">
        <is>
          <t>Cursor AI — review tier / annual plan</t>
        </is>
      </c>
    </row>
    <row r="14">
      <c r="A14" s="2" t="inlineStr">
        <is>
          <t>Other subscriptions</t>
        </is>
      </c>
      <c r="B14" s="3" t="n">
        <v>2</v>
      </c>
      <c r="C14" s="3" t="n">
        <v>200</v>
      </c>
      <c r="D14" s="3" t="n">
        <v>0</v>
      </c>
      <c r="E14" s="3">
        <f>D14-C14</f>
        <v/>
      </c>
      <c r="F14" s="2">
        <f>IF(D14=0,"Enter spend",IF(E14&lt;=0,"✓ On track","⚠ Over"))</f>
        <v/>
      </c>
      <c r="G14" s="2" t="inlineStr">
        <is>
          <t>YouTube, streaming, etc.</t>
        </is>
      </c>
    </row>
    <row r="15">
      <c r="A15" s="2" t="inlineStr">
        <is>
          <t>Healthcare</t>
        </is>
      </c>
      <c r="B15" s="3" t="n">
        <v>2290</v>
      </c>
      <c r="C15" s="3" t="n">
        <v>1500</v>
      </c>
      <c r="D15" s="3" t="n">
        <v>0</v>
      </c>
      <c r="E15" s="3">
        <f>D15-C15</f>
        <v/>
      </c>
      <c r="F15" s="2">
        <f>IF(D15=0,"Enter spend",IF(E15&lt;=0,"✓ On track","⚠ Over"))</f>
        <v/>
      </c>
      <c r="G15" s="2" t="inlineStr">
        <is>
          <t>Variable; claim via corporate insurance</t>
        </is>
      </c>
    </row>
    <row r="16">
      <c r="A16" s="2" t="inlineStr">
        <is>
          <t>Education / training</t>
        </is>
      </c>
      <c r="B16" s="3" t="n">
        <v>1875</v>
      </c>
      <c r="C16" s="3" t="n">
        <v>0</v>
      </c>
      <c r="D16" s="3" t="n">
        <v>0</v>
      </c>
      <c r="E16" s="3">
        <f>D16-C16</f>
        <v/>
      </c>
      <c r="F16" s="2">
        <f>IF(D16=0,"Enter spend",IF(E16&lt;=0,"✓ On track","⚠ Over"))</f>
        <v/>
      </c>
      <c r="G16" s="2" t="inlineStr">
        <is>
          <t>Only if actively enrolled in a course</t>
        </is>
      </c>
    </row>
    <row r="17">
      <c r="A17" s="2" t="inlineStr">
        <is>
          <t>Shopping (Amazon etc.)</t>
        </is>
      </c>
      <c r="B17" s="3" t="n">
        <v>1842</v>
      </c>
      <c r="C17" s="3" t="n">
        <v>1000</v>
      </c>
      <c r="D17" s="3" t="n">
        <v>0</v>
      </c>
      <c r="E17" s="3">
        <f>D17-C17</f>
        <v/>
      </c>
      <c r="F17" s="2">
        <f>IF(D17=0,"Enter spend",IF(E17&lt;=0,"✓ On track","⚠ Over"))</f>
        <v/>
      </c>
      <c r="G17" s="2" t="inlineStr">
        <is>
          <t>Non-essential purchases only</t>
        </is>
      </c>
    </row>
    <row r="18">
      <c r="A18" s="2" t="inlineStr">
        <is>
          <t>Gift cards</t>
        </is>
      </c>
      <c r="B18" s="3" t="n">
        <v>4240</v>
      </c>
      <c r="C18" s="3" t="n">
        <v>0</v>
      </c>
      <c r="D18" s="3" t="n">
        <v>0</v>
      </c>
      <c r="E18" s="3">
        <f>D18-C18</f>
        <v/>
      </c>
      <c r="F18" s="2">
        <f>IF(D18=0,"Enter spend",IF(E18&lt;=0,"✓ On track","⚠ Over"))</f>
        <v/>
      </c>
      <c r="G18" s="2" t="inlineStr">
        <is>
          <t>Avoid prepaid unless planned gift</t>
        </is>
      </c>
    </row>
    <row r="19">
      <c r="A19" s="2" t="inlineStr">
        <is>
          <t>Luxury / big purchases</t>
        </is>
      </c>
      <c r="B19" s="3" t="n">
        <v>30867</v>
      </c>
      <c r="C19" s="3" t="n">
        <v>0</v>
      </c>
      <c r="D19" s="3" t="n">
        <v>0</v>
      </c>
      <c r="E19" s="3">
        <f>D19-C19</f>
        <v/>
      </c>
      <c r="F19" s="2">
        <f>IF(D19=0,"Enter spend",IF(E19&lt;=0,"✓ On track","⚠ Over"))</f>
        <v/>
      </c>
      <c r="G19" s="2" t="inlineStr">
        <is>
          <t>No luxury spend — use 7-day rule if &gt; ₹5,000</t>
        </is>
      </c>
    </row>
    <row r="20">
      <c r="A20" s="2" t="inlineStr">
        <is>
          <t>Misc / buffer</t>
        </is>
      </c>
      <c r="B20" s="3" t="n">
        <v>0</v>
      </c>
      <c r="C20" s="3" t="n">
        <v>2000</v>
      </c>
      <c r="D20" s="3" t="n">
        <v>0</v>
      </c>
      <c r="E20" s="3">
        <f>D20-C20</f>
        <v/>
      </c>
      <c r="F20" s="2">
        <f>IF(D20=0,"Enter spend",IF(E20&lt;=0,"✓ On track","⚠ Over"))</f>
        <v/>
      </c>
      <c r="G20" s="2" t="inlineStr">
        <is>
          <t>Unexpected expenses from salary</t>
        </is>
      </c>
    </row>
    <row r="21">
      <c r="A21" s="4" t="inlineStr">
        <is>
          <t>TOTAL (excl. income)</t>
        </is>
      </c>
      <c r="B21" s="5">
        <f>SUM(B2:B20)</f>
        <v/>
      </c>
      <c r="C21" s="5">
        <f>SUM(C2:C20)</f>
        <v/>
      </c>
      <c r="D21" s="5">
        <f>SUM(D2:D20)</f>
        <v/>
      </c>
      <c r="E21" s="5">
        <f>D21-C21</f>
        <v/>
      </c>
    </row>
    <row r="22"/>
    <row r="23">
      <c r="A23" s="4" t="inlineStr">
        <is>
          <t>Monthly salary (bank)</t>
        </is>
      </c>
      <c r="C23" s="5" t="n">
        <v>158853</v>
      </c>
    </row>
    <row r="24">
      <c r="A24" s="4" t="inlineStr">
        <is>
          <t>Pluxee grocery benefit (separate)</t>
        </is>
      </c>
      <c r="C24" s="5" t="n">
        <v>5600</v>
      </c>
    </row>
    <row r="25">
      <c r="A25" s="4" t="inlineStr">
        <is>
          <t>Zerodha investment target</t>
        </is>
      </c>
      <c r="C25" s="5" t="n">
        <v>120000</v>
      </c>
    </row>
    <row r="26">
      <c r="A26" s="4" t="inlineStr">
        <is>
          <t>Living spend from salary (target)</t>
        </is>
      </c>
      <c r="C26" s="5" t="n">
        <v>30200</v>
      </c>
    </row>
    <row r="27">
      <c r="A27" s="4" t="inlineStr">
        <is>
          <t>Projected salary surplus (Salary − Actual spend)</t>
        </is>
      </c>
      <c r="D27" s="5">
        <f>C23-D21</f>
        <v/>
      </c>
    </row>
    <row r="28">
      <c r="A28" s="4" t="inlineStr">
        <is>
          <t>Total to Zerodha + surplus wealth</t>
        </is>
      </c>
      <c r="C28" s="5">
        <f>C25+C27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3" customWidth="1" min="4" max="4"/>
    <col width="7" customWidth="1" min="5" max="5"/>
    <col width="38" customWidth="1" min="6" max="6"/>
    <col width="8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 (₹)</t>
        </is>
      </c>
      <c r="E1" s="1" t="inlineStr">
        <is>
          <t>Type</t>
        </is>
      </c>
      <c r="F1" s="1" t="inlineStr">
        <is>
          <t>Month</t>
        </is>
      </c>
      <c r="G1" s="1" t="inlineStr">
        <is>
          <t>Notes</t>
        </is>
      </c>
    </row>
    <row r="2">
      <c r="F2">
        <f>IF(A2="","",TEXT(A2,"MMM-YYYY"))</f>
        <v/>
      </c>
    </row>
    <row r="3">
      <c r="F3">
        <f>IF(A3="","",TEXT(A3,"MMM-YYYY"))</f>
        <v/>
      </c>
    </row>
    <row r="4">
      <c r="F4">
        <f>IF(A4="","",TEXT(A4,"MMM-YYYY"))</f>
        <v/>
      </c>
    </row>
    <row r="5">
      <c r="F5">
        <f>IF(A5="","",TEXT(A5,"MMM-YYYY"))</f>
        <v/>
      </c>
    </row>
    <row r="6">
      <c r="F6">
        <f>IF(A6="","",TEXT(A6,"MMM-YYYY"))</f>
        <v/>
      </c>
    </row>
    <row r="7">
      <c r="F7">
        <f>IF(A7="","",TEXT(A7,"MMM-YYYY"))</f>
        <v/>
      </c>
    </row>
    <row r="8">
      <c r="F8">
        <f>IF(A8="","",TEXT(A8,"MMM-YYYY"))</f>
        <v/>
      </c>
    </row>
    <row r="9">
      <c r="F9">
        <f>IF(A9="","",TEXT(A9,"MMM-YYYY"))</f>
        <v/>
      </c>
    </row>
    <row r="10">
      <c r="F10">
        <f>IF(A10="","",TEXT(A10,"MMM-YYYY"))</f>
        <v/>
      </c>
    </row>
    <row r="11">
      <c r="F11">
        <f>IF(A11="","",TEXT(A11,"MMM-YYYY"))</f>
        <v/>
      </c>
    </row>
    <row r="12">
      <c r="F12">
        <f>IF(A12="","",TEXT(A12,"MMM-YYYY"))</f>
        <v/>
      </c>
    </row>
    <row r="13">
      <c r="F13">
        <f>IF(A13="","",TEXT(A13,"MMM-YYYY"))</f>
        <v/>
      </c>
    </row>
    <row r="14">
      <c r="F14">
        <f>IF(A14="","",TEXT(A14,"MMM-YYYY"))</f>
        <v/>
      </c>
    </row>
    <row r="15">
      <c r="F15">
        <f>IF(A15="","",TEXT(A15,"MMM-YYYY"))</f>
        <v/>
      </c>
    </row>
    <row r="16">
      <c r="F16">
        <f>IF(A16="","",TEXT(A16,"MMM-YYYY"))</f>
        <v/>
      </c>
    </row>
    <row r="17">
      <c r="F17">
        <f>IF(A17="","",TEXT(A17,"MMM-YYYY"))</f>
        <v/>
      </c>
    </row>
    <row r="18">
      <c r="F18">
        <f>IF(A18="","",TEXT(A18,"MMM-YYYY"))</f>
        <v/>
      </c>
    </row>
    <row r="19">
      <c r="F19">
        <f>IF(A19="","",TEXT(A19,"MMM-YYYY"))</f>
        <v/>
      </c>
    </row>
    <row r="20">
      <c r="F20">
        <f>IF(A20="","",TEXT(A20,"MMM-YYYY"))</f>
        <v/>
      </c>
    </row>
    <row r="21">
      <c r="F21">
        <f>IF(A21="","",TEXT(A21,"MMM-YYYY"))</f>
        <v/>
      </c>
    </row>
    <row r="22">
      <c r="F22">
        <f>IF(A22="","",TEXT(A22,"MMM-YYYY"))</f>
        <v/>
      </c>
    </row>
    <row r="23">
      <c r="F23">
        <f>IF(A23="","",TEXT(A23,"MMM-YYYY"))</f>
        <v/>
      </c>
    </row>
    <row r="24">
      <c r="F24">
        <f>IF(A24="","",TEXT(A24,"MMM-YYYY"))</f>
        <v/>
      </c>
    </row>
    <row r="25">
      <c r="F25">
        <f>IF(A25="","",TEXT(A25,"MMM-YYYY"))</f>
        <v/>
      </c>
    </row>
    <row r="26">
      <c r="F26">
        <f>IF(A26="","",TEXT(A26,"MMM-YYYY"))</f>
        <v/>
      </c>
    </row>
    <row r="27">
      <c r="F27">
        <f>IF(A27="","",TEXT(A27,"MMM-YYYY"))</f>
        <v/>
      </c>
    </row>
    <row r="28">
      <c r="F28">
        <f>IF(A28="","",TEXT(A28,"MMM-YYYY"))</f>
        <v/>
      </c>
    </row>
    <row r="29">
      <c r="F29">
        <f>IF(A29="","",TEXT(A29,"MMM-YYYY"))</f>
        <v/>
      </c>
    </row>
    <row r="30">
      <c r="F30">
        <f>IF(A30="","",TEXT(A30,"MMM-YYYY"))</f>
        <v/>
      </c>
    </row>
    <row r="31">
      <c r="F31">
        <f>IF(A31="","",TEXT(A31,"MMM-YYYY"))</f>
        <v/>
      </c>
    </row>
    <row r="32">
      <c r="F32">
        <f>IF(A32="","",TEXT(A32,"MMM-YYYY"))</f>
        <v/>
      </c>
    </row>
    <row r="33">
      <c r="F33">
        <f>IF(A33="","",TEXT(A33,"MMM-YYYY"))</f>
        <v/>
      </c>
    </row>
    <row r="34">
      <c r="F34">
        <f>IF(A34="","",TEXT(A34,"MMM-YYYY"))</f>
        <v/>
      </c>
    </row>
    <row r="35">
      <c r="F35">
        <f>IF(A35="","",TEXT(A35,"MMM-YYYY"))</f>
        <v/>
      </c>
    </row>
    <row r="36">
      <c r="F36">
        <f>IF(A36="","",TEXT(A36,"MMM-YYYY"))</f>
        <v/>
      </c>
    </row>
    <row r="37">
      <c r="F37">
        <f>IF(A37="","",TEXT(A37,"MMM-YYYY"))</f>
        <v/>
      </c>
    </row>
    <row r="38">
      <c r="F38">
        <f>IF(A38="","",TEXT(A38,"MMM-YYYY"))</f>
        <v/>
      </c>
    </row>
    <row r="39">
      <c r="F39">
        <f>IF(A39="","",TEXT(A39,"MMM-YYYY"))</f>
        <v/>
      </c>
    </row>
    <row r="40">
      <c r="F40">
        <f>IF(A40="","",TEXT(A40,"MMM-YYYY"))</f>
        <v/>
      </c>
    </row>
    <row r="41">
      <c r="F41">
        <f>IF(A41="","",TEXT(A41,"MMM-YYYY"))</f>
        <v/>
      </c>
    </row>
    <row r="42">
      <c r="F42">
        <f>IF(A42="","",TEXT(A42,"MMM-YYYY"))</f>
        <v/>
      </c>
    </row>
    <row r="43">
      <c r="F43">
        <f>IF(A43="","",TEXT(A43,"MMM-YYYY"))</f>
        <v/>
      </c>
    </row>
    <row r="44">
      <c r="F44">
        <f>IF(A44="","",TEXT(A44,"MMM-YYYY"))</f>
        <v/>
      </c>
    </row>
    <row r="45">
      <c r="F45">
        <f>IF(A45="","",TEXT(A45,"MMM-YYYY"))</f>
        <v/>
      </c>
    </row>
    <row r="46">
      <c r="F46">
        <f>IF(A46="","",TEXT(A46,"MMM-YYYY"))</f>
        <v/>
      </c>
    </row>
    <row r="47">
      <c r="F47">
        <f>IF(A47="","",TEXT(A47,"MMM-YYYY"))</f>
        <v/>
      </c>
    </row>
    <row r="48">
      <c r="F48">
        <f>IF(A48="","",TEXT(A48,"MMM-YYYY"))</f>
        <v/>
      </c>
    </row>
    <row r="49">
      <c r="F49">
        <f>IF(A49="","",TEXT(A49,"MMM-YYYY"))</f>
        <v/>
      </c>
    </row>
    <row r="50">
      <c r="F50">
        <f>IF(A50="","",TEXT(A50,"MMM-YYYY"))</f>
        <v/>
      </c>
    </row>
    <row r="51">
      <c r="F51">
        <f>IF(A51="","",TEXT(A51,"MMM-YYYY"))</f>
        <v/>
      </c>
    </row>
  </sheetData>
  <dataValidations count="2">
    <dataValidation sqref="C2:C500" showDropDown="0" showInputMessage="0" showErrorMessage="0" allowBlank="1" type="list">
      <formula1>"Investments (Zerodha),Family transfers,Credit card payment,Pluxee — groceries (benefit),Groceries (from salary),Restaurant dining,Street food / canteen,Desserts (Polar Bear etc.),Office snacks / tea,Office cafe (Cowrks),Transport (Metro),Software subscriptions,Other subscriptions,Healthcare,Education / training,Shopping (Amazon etc.),Gift cards,Luxury / big purchases,Misc / buffer,Income,Pluxee — groceries (benefit),Misc / buffer"</formula1>
    </dataValidation>
    <dataValidation sqref="E2:E500" showDropDown="0" showInputMessage="0" showErrorMessage="0" allowBlank="1" type="list">
      <formula1>"Debit,Credit"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5" customWidth="1" min="3" max="3"/>
    <col width="13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 (₹)</t>
        </is>
      </c>
      <c r="E1" s="1" t="inlineStr">
        <is>
          <t>Type</t>
        </is>
      </c>
    </row>
    <row r="2">
      <c r="A2" t="inlineStr">
        <is>
          <t>01-Jun</t>
        </is>
      </c>
      <c r="B2" t="inlineStr">
        <is>
          <t>SOMASUNDAR</t>
        </is>
      </c>
      <c r="C2" t="inlineStr">
        <is>
          <t>Family transfers</t>
        </is>
      </c>
      <c r="D2" s="5" t="n">
        <v>16000</v>
      </c>
      <c r="E2" t="inlineStr">
        <is>
          <t>Debit</t>
        </is>
      </c>
    </row>
    <row r="3">
      <c r="A3" t="inlineStr">
        <is>
          <t>01-Jun</t>
        </is>
      </c>
      <c r="B3" t="inlineStr">
        <is>
          <t>Sparsh Hospital</t>
        </is>
      </c>
      <c r="C3" t="inlineStr">
        <is>
          <t>Healthcare</t>
        </is>
      </c>
      <c r="D3" s="5" t="n">
        <v>2290</v>
      </c>
      <c r="E3" t="inlineStr">
        <is>
          <t>Debit</t>
        </is>
      </c>
    </row>
    <row r="4">
      <c r="A4" t="inlineStr">
        <is>
          <t>01-Jun</t>
        </is>
      </c>
      <c r="B4" t="inlineStr">
        <is>
          <t>Zerodha (net)</t>
        </is>
      </c>
      <c r="C4" t="inlineStr">
        <is>
          <t>Investments (Zerodha)</t>
        </is>
      </c>
      <c r="D4" s="5" t="n">
        <v>71000</v>
      </c>
      <c r="E4" t="inlineStr">
        <is>
          <t>Debit</t>
        </is>
      </c>
    </row>
    <row r="5">
      <c r="A5" t="inlineStr">
        <is>
          <t>01-Jun</t>
        </is>
      </c>
      <c r="B5" t="inlineStr">
        <is>
          <t>CC Bill Payment</t>
        </is>
      </c>
      <c r="C5" t="inlineStr">
        <is>
          <t>Credit card payment</t>
        </is>
      </c>
      <c r="D5" s="5" t="n">
        <v>13180</v>
      </c>
      <c r="E5" t="inlineStr">
        <is>
          <t>Debit</t>
        </is>
      </c>
    </row>
    <row r="6">
      <c r="A6" t="inlineStr">
        <is>
          <t>01-Jun</t>
        </is>
      </c>
      <c r="B6" t="inlineStr">
        <is>
          <t>Centre for</t>
        </is>
      </c>
      <c r="C6" t="inlineStr">
        <is>
          <t>Education / training</t>
        </is>
      </c>
      <c r="D6" s="5" t="n">
        <v>1875</v>
      </c>
      <c r="E6" t="inlineStr">
        <is>
          <t>Debit</t>
        </is>
      </c>
    </row>
    <row r="7">
      <c r="A7" t="inlineStr">
        <is>
          <t>03-Jun</t>
        </is>
      </c>
      <c r="B7" t="inlineStr">
        <is>
          <t>DMart</t>
        </is>
      </c>
      <c r="C7" t="inlineStr">
        <is>
          <t>Groceries</t>
        </is>
      </c>
      <c r="D7" s="5" t="n">
        <v>911</v>
      </c>
      <c r="E7" t="inlineStr">
        <is>
          <t>Debit</t>
        </is>
      </c>
    </row>
    <row r="8">
      <c r="A8" t="inlineStr">
        <is>
          <t>07-Jun</t>
        </is>
      </c>
      <c r="B8" t="inlineStr">
        <is>
          <t>Munchzeste</t>
        </is>
      </c>
      <c r="C8" t="inlineStr">
        <is>
          <t>Restaurant dining</t>
        </is>
      </c>
      <c r="D8" s="5" t="n">
        <v>1125</v>
      </c>
      <c r="E8" t="inlineStr">
        <is>
          <t>Debit</t>
        </is>
      </c>
    </row>
    <row r="9">
      <c r="A9" t="inlineStr">
        <is>
          <t>10-Jun</t>
        </is>
      </c>
      <c r="B9" t="inlineStr">
        <is>
          <t>TR Enterprise</t>
        </is>
      </c>
      <c r="C9" t="inlineStr">
        <is>
          <t>Restaurant dining</t>
        </is>
      </c>
      <c r="D9" s="5" t="n">
        <v>1070</v>
      </c>
      <c r="E9" t="inlineStr">
        <is>
          <t>Debit</t>
        </is>
      </c>
    </row>
    <row r="10">
      <c r="A10" t="inlineStr">
        <is>
          <t>15-Jun</t>
        </is>
      </c>
      <c r="B10" t="inlineStr">
        <is>
          <t>Cursor AI</t>
        </is>
      </c>
      <c r="C10" t="inlineStr">
        <is>
          <t>Software subscriptions</t>
        </is>
      </c>
      <c r="D10" s="5" t="n">
        <v>2376</v>
      </c>
      <c r="E10" t="inlineStr">
        <is>
          <t>Debit</t>
        </is>
      </c>
    </row>
    <row r="11">
      <c r="A11" t="inlineStr">
        <is>
          <t>17-Jun</t>
        </is>
      </c>
      <c r="B11" t="inlineStr">
        <is>
          <t>Amazon gift card</t>
        </is>
      </c>
      <c r="C11" t="inlineStr">
        <is>
          <t>Gift cards</t>
        </is>
      </c>
      <c r="D11" s="5" t="n">
        <v>4240</v>
      </c>
      <c r="E11" t="inlineStr">
        <is>
          <t>Debit</t>
        </is>
      </c>
    </row>
    <row r="12">
      <c r="A12" t="inlineStr">
        <is>
          <t>21-Jun</t>
        </is>
      </c>
      <c r="B12" t="inlineStr">
        <is>
          <t>Chulha Cha</t>
        </is>
      </c>
      <c r="C12" t="inlineStr">
        <is>
          <t>Restaurant dining</t>
        </is>
      </c>
      <c r="D12" s="5" t="n">
        <v>1180</v>
      </c>
      <c r="E12" t="inlineStr">
        <is>
          <t>Debit</t>
        </is>
      </c>
    </row>
    <row r="13">
      <c r="A13" t="inlineStr">
        <is>
          <t>21-Jun</t>
        </is>
      </c>
      <c r="B13" t="inlineStr">
        <is>
          <t>Rajat Agarwal</t>
        </is>
      </c>
      <c r="C13" t="inlineStr">
        <is>
          <t>Family transfers</t>
        </is>
      </c>
      <c r="D13" s="5" t="n">
        <v>1100</v>
      </c>
      <c r="E13" t="inlineStr">
        <is>
          <t>Debit</t>
        </is>
      </c>
    </row>
    <row r="14">
      <c r="A14" t="inlineStr">
        <is>
          <t>28-Jun</t>
        </is>
      </c>
      <c r="B14" t="inlineStr">
        <is>
          <t>Titan</t>
        </is>
      </c>
      <c r="C14" t="inlineStr">
        <is>
          <t>Luxury / big purchases</t>
        </is>
      </c>
      <c r="D14" s="5" t="n">
        <v>30867</v>
      </c>
      <c r="E14" t="inlineStr">
        <is>
          <t>Debit</t>
        </is>
      </c>
    </row>
    <row r="15">
      <c r="A15" t="inlineStr">
        <is>
          <t>28-Jun</t>
        </is>
      </c>
      <c r="B15" t="inlineStr">
        <is>
          <t>Truffles</t>
        </is>
      </c>
      <c r="C15" t="inlineStr">
        <is>
          <t>Restaurant dining</t>
        </is>
      </c>
      <c r="D15" s="5" t="n">
        <v>1155</v>
      </c>
      <c r="E15" t="inlineStr">
        <is>
          <t>Debit</t>
        </is>
      </c>
    </row>
    <row r="16">
      <c r="A16" t="inlineStr">
        <is>
          <t>28-Jun</t>
        </is>
      </c>
      <c r="B16" t="inlineStr">
        <is>
          <t>FGM</t>
        </is>
      </c>
      <c r="C16" t="inlineStr">
        <is>
          <t>Shopping (Amazon etc.)</t>
        </is>
      </c>
      <c r="D16" s="5" t="n">
        <v>1502</v>
      </c>
      <c r="E16" t="inlineStr">
        <is>
          <t>Debit</t>
        </is>
      </c>
    </row>
    <row r="17">
      <c r="A17" t="inlineStr">
        <is>
          <t>30-Jun</t>
        </is>
      </c>
      <c r="B17" t="inlineStr">
        <is>
          <t>Salary — Johnson Controls</t>
        </is>
      </c>
      <c r="C17" t="inlineStr">
        <is>
          <t>Income</t>
        </is>
      </c>
      <c r="D17" s="5" t="n">
        <v>158853</v>
      </c>
      <c r="E17" t="inlineStr">
        <is>
          <t>Credit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6" t="inlineStr">
        <is>
          <t>Monthly Budget Dashboard — Updated Plan</t>
        </is>
      </c>
    </row>
    <row r="2">
      <c r="A2" t="inlineStr"/>
      <c r="B2" t="inlineStr"/>
    </row>
    <row r="3">
      <c r="A3" t="inlineStr">
        <is>
          <t>Income</t>
        </is>
      </c>
      <c r="B3" t="inlineStr"/>
    </row>
    <row r="4">
      <c r="A4" t="inlineStr">
        <is>
          <t>Monthly salary (bank)</t>
        </is>
      </c>
      <c r="B4" s="5" t="n">
        <v>158853</v>
      </c>
    </row>
    <row r="5">
      <c r="A5" t="inlineStr">
        <is>
          <t>Pluxee groceries (₹4,400 + ₹1,200)</t>
        </is>
      </c>
      <c r="B5" s="5" t="n">
        <v>5600</v>
      </c>
    </row>
    <row r="6">
      <c r="A6" t="inlineStr">
        <is>
          <t>Total monthly resources</t>
        </is>
      </c>
      <c r="B6" s="5" t="n">
        <v>164453</v>
      </c>
    </row>
    <row r="7">
      <c r="A7" t="inlineStr"/>
      <c r="B7" t="inlineStr"/>
    </row>
    <row r="8">
      <c r="A8" t="inlineStr">
        <is>
          <t>Fixed outflows (from salary)</t>
        </is>
      </c>
      <c r="B8" t="inlineStr"/>
    </row>
    <row r="9">
      <c r="A9" t="inlineStr">
        <is>
          <t>Zerodha investment</t>
        </is>
      </c>
      <c r="B9" s="5" t="n">
        <v>120000</v>
      </c>
    </row>
    <row r="10">
      <c r="A10" t="inlineStr">
        <is>
          <t>Family transfers</t>
        </is>
      </c>
      <c r="B10" s="5" t="n">
        <v>18000</v>
      </c>
    </row>
    <row r="11">
      <c r="A11" t="inlineStr">
        <is>
          <t>Credit card</t>
        </is>
      </c>
      <c r="B11" t="n">
        <v>0</v>
      </c>
    </row>
    <row r="12">
      <c r="A12" t="inlineStr"/>
      <c r="B12" t="inlineStr"/>
    </row>
    <row r="13">
      <c r="A13" t="inlineStr">
        <is>
          <t>Living budget (from salary only)</t>
        </is>
      </c>
      <c r="B13" t="inlineStr"/>
    </row>
    <row r="14">
      <c r="A14" t="inlineStr">
        <is>
          <t>Restaurants + street food + snacks</t>
        </is>
      </c>
      <c r="B14" s="5" t="n">
        <v>5600</v>
      </c>
    </row>
    <row r="15">
      <c r="A15" t="inlineStr">
        <is>
          <t>Transport + subscriptions</t>
        </is>
      </c>
      <c r="B15" s="5" t="n">
        <v>1700</v>
      </c>
    </row>
    <row r="16">
      <c r="A16" t="inlineStr">
        <is>
          <t>Healthcare + shopping + misc</t>
        </is>
      </c>
      <c r="B16" s="5" t="n">
        <v>4500</v>
      </c>
    </row>
    <row r="17">
      <c r="A17" t="inlineStr">
        <is>
          <t>Groceries from salary</t>
        </is>
      </c>
      <c r="B17" t="n">
        <v>0</v>
      </c>
    </row>
    <row r="18">
      <c r="A18" t="inlineStr">
        <is>
          <t>Total living from salary</t>
        </is>
      </c>
      <c r="B18" s="5" t="n">
        <v>30200</v>
      </c>
    </row>
    <row r="19">
      <c r="A19" t="inlineStr"/>
      <c r="B19" t="inlineStr"/>
    </row>
    <row r="20">
      <c r="A20" t="inlineStr">
        <is>
          <t>Projected salary surplus</t>
        </is>
      </c>
      <c r="B20" s="5" t="n">
        <v>8653</v>
      </c>
    </row>
    <row r="21">
      <c r="A21" t="inlineStr">
        <is>
          <t>Total wealth building (Zerodha + surplus)</t>
        </is>
      </c>
      <c r="B21" s="5" t="n">
        <v>128653</v>
      </c>
    </row>
    <row r="22">
      <c r="A22" t="inlineStr">
        <is>
          <t>Wealth rate (% of salary)</t>
        </is>
      </c>
      <c r="B22" s="7" t="n">
        <v>81</v>
      </c>
    </row>
    <row r="23">
      <c r="A23" t="inlineStr"/>
      <c r="B23" t="inlineStr"/>
    </row>
    <row r="24">
      <c r="A24" t="inlineStr">
        <is>
          <t>Rules</t>
        </is>
      </c>
      <c r="B24" t="inlineStr"/>
    </row>
    <row r="25">
      <c r="A25" t="inlineStr">
        <is>
          <t>Transfer ₹1.2L to Zerodha</t>
        </is>
      </c>
      <c r="B25" t="inlineStr">
        <is>
          <t>1st–2nd of month</t>
        </is>
      </c>
    </row>
    <row r="26">
      <c r="A26" t="inlineStr">
        <is>
          <t>Use Pluxee for all groceries first</t>
        </is>
      </c>
      <c r="B26" t="inlineStr">
        <is>
          <t>DMart / BigBasket</t>
        </is>
      </c>
    </row>
    <row r="27">
      <c r="A27" t="inlineStr">
        <is>
          <t>Max restaurant spend</t>
        </is>
      </c>
      <c r="B27" s="5" t="n">
        <v>2500</v>
      </c>
    </row>
    <row r="28">
      <c r="A28" t="inlineStr">
        <is>
          <t>Cooling-off for purchases &gt; ₹5,000</t>
        </is>
      </c>
      <c r="B28" t="inlineStr">
        <is>
          <t>7 days</t>
        </is>
      </c>
    </row>
    <row r="29">
      <c r="A29" t="inlineStr">
        <is>
          <t>No credit card bills</t>
        </is>
      </c>
      <c r="B29" t="inlineStr">
        <is>
          <t>UPI/debit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3" customWidth="1" min="3" max="3"/>
    <col width="26" customWidth="1" min="4" max="4"/>
    <col width="19" customWidth="1" min="5" max="5"/>
  </cols>
  <sheetData>
    <row r="1">
      <c r="A1" s="8" t="inlineStr">
        <is>
          <t>Next Month — Salary Allocation Plan</t>
        </is>
      </c>
    </row>
    <row r="2"/>
    <row r="3">
      <c r="A3" s="9" t="inlineStr">
        <is>
          <t>Step</t>
        </is>
      </c>
      <c r="B3" s="9" t="inlineStr">
        <is>
          <t>Action</t>
        </is>
      </c>
      <c r="C3" s="9" t="inlineStr">
        <is>
          <t>Amount (₹)</t>
        </is>
      </c>
      <c r="D3" s="9" t="inlineStr">
        <is>
          <t>When</t>
        </is>
      </c>
      <c r="E3" s="9" t="inlineStr">
        <is>
          <t>From</t>
        </is>
      </c>
    </row>
    <row r="4">
      <c r="A4" s="2" t="n">
        <v>1</v>
      </c>
      <c r="B4" s="2" t="inlineStr">
        <is>
          <t>Transfer to Zerodha</t>
        </is>
      </c>
      <c r="C4" s="3" t="n">
        <v>120000</v>
      </c>
      <c r="D4" s="2" t="inlineStr">
        <is>
          <t>1st–2nd</t>
        </is>
      </c>
      <c r="E4" s="2" t="inlineStr">
        <is>
          <t>Salary</t>
        </is>
      </c>
    </row>
    <row r="5">
      <c r="A5" s="2" t="n">
        <v>2</v>
      </c>
      <c r="B5" s="2" t="inlineStr">
        <is>
          <t>Family transfer (Somasundar etc.)</t>
        </is>
      </c>
      <c r="C5" s="3" t="n">
        <v>18000</v>
      </c>
      <c r="D5" s="2" t="inlineStr">
        <is>
          <t>1st week</t>
        </is>
      </c>
      <c r="E5" s="2" t="inlineStr">
        <is>
          <t>Salary</t>
        </is>
      </c>
    </row>
    <row r="6">
      <c r="A6" s="2" t="n">
        <v>3</v>
      </c>
      <c r="B6" s="2" t="inlineStr">
        <is>
          <t>Load Pluxee — groceries</t>
        </is>
      </c>
      <c r="C6" s="3" t="n">
        <v>5600</v>
      </c>
      <c r="D6" s="2" t="inlineStr">
        <is>
          <t>Auto/credited</t>
        </is>
      </c>
      <c r="E6" s="2" t="inlineStr">
        <is>
          <t>Employer benefit</t>
        </is>
      </c>
    </row>
    <row r="7">
      <c r="A7" s="2" t="n">
        <v>4</v>
      </c>
      <c r="B7" s="2" t="inlineStr">
        <is>
          <t>Restaurants (max 2 outings)</t>
        </is>
      </c>
      <c r="C7" s="3" t="n">
        <v>2500</v>
      </c>
      <c r="D7" s="2" t="inlineStr">
        <is>
          <t>Through month</t>
        </is>
      </c>
      <c r="E7" s="2" t="inlineStr">
        <is>
          <t>Salary</t>
        </is>
      </c>
    </row>
    <row r="8">
      <c r="A8" s="2" t="n">
        <v>5</v>
      </c>
      <c r="B8" s="2" t="inlineStr">
        <is>
          <t>Office lunch / street food</t>
        </is>
      </c>
      <c r="C8" s="3" t="n">
        <v>2500</v>
      </c>
      <c r="D8" s="2" t="inlineStr">
        <is>
          <t>Through month</t>
        </is>
      </c>
      <c r="E8" s="2" t="inlineStr">
        <is>
          <t>Salary</t>
        </is>
      </c>
    </row>
    <row r="9">
      <c r="A9" s="2" t="n">
        <v>6</v>
      </c>
      <c r="B9" s="2" t="inlineStr">
        <is>
          <t>Snacks + desserts + office cafe</t>
        </is>
      </c>
      <c r="C9" s="3" t="n">
        <v>500</v>
      </c>
      <c r="D9" s="2" t="inlineStr">
        <is>
          <t>Through month</t>
        </is>
      </c>
      <c r="E9" s="2" t="inlineStr">
        <is>
          <t>Salary</t>
        </is>
      </c>
    </row>
    <row r="10">
      <c r="A10" s="2" t="n">
        <v>7</v>
      </c>
      <c r="B10" s="2" t="inlineStr">
        <is>
          <t>Metro transport</t>
        </is>
      </c>
      <c r="C10" s="3" t="n">
        <v>200</v>
      </c>
      <c r="D10" s="2" t="inlineStr">
        <is>
          <t>Through month</t>
        </is>
      </c>
      <c r="E10" s="2" t="inlineStr">
        <is>
          <t>Salary</t>
        </is>
      </c>
    </row>
    <row r="11">
      <c r="A11" s="2" t="n">
        <v>8</v>
      </c>
      <c r="B11" s="2" t="inlineStr">
        <is>
          <t>Cursor AI + subscriptions</t>
        </is>
      </c>
      <c r="C11" s="3" t="n">
        <v>1700</v>
      </c>
      <c r="D11" s="2" t="inlineStr">
        <is>
          <t>Monthly</t>
        </is>
      </c>
      <c r="E11" s="2" t="inlineStr">
        <is>
          <t>Salary</t>
        </is>
      </c>
    </row>
    <row r="12">
      <c r="A12" s="2" t="n">
        <v>9</v>
      </c>
      <c r="B12" s="2" t="inlineStr">
        <is>
          <t>Healthcare / pharmacy</t>
        </is>
      </c>
      <c r="C12" s="3" t="n">
        <v>1500</v>
      </c>
      <c r="D12" s="2" t="inlineStr">
        <is>
          <t>As needed</t>
        </is>
      </c>
      <c r="E12" s="2" t="inlineStr">
        <is>
          <t>Salary</t>
        </is>
      </c>
    </row>
    <row r="13">
      <c r="A13" s="2" t="n">
        <v>10</v>
      </c>
      <c r="B13" s="2" t="inlineStr">
        <is>
          <t>Shopping (non-essential)</t>
        </is>
      </c>
      <c r="C13" s="3" t="n">
        <v>1000</v>
      </c>
      <c r="D13" s="2" t="inlineStr">
        <is>
          <t>As needed</t>
        </is>
      </c>
      <c r="E13" s="2" t="inlineStr">
        <is>
          <t>Salary</t>
        </is>
      </c>
    </row>
    <row r="14">
      <c r="A14" s="2" t="n">
        <v>11</v>
      </c>
      <c r="B14" s="2" t="inlineStr">
        <is>
          <t>Misc / emergency buffer</t>
        </is>
      </c>
      <c r="C14" s="3" t="n">
        <v>2000</v>
      </c>
      <c r="D14" s="2" t="inlineStr">
        <is>
          <t>Reserve</t>
        </is>
      </c>
      <c r="E14" s="2" t="inlineStr">
        <is>
          <t>Salary</t>
        </is>
      </c>
    </row>
    <row r="15">
      <c r="A15" s="2" t="n">
        <v>12</v>
      </c>
      <c r="B15" s="2" t="inlineStr">
        <is>
          <t>Groceries</t>
        </is>
      </c>
      <c r="C15" s="3" t="n">
        <v>0</v>
      </c>
      <c r="D15" s="2" t="inlineStr">
        <is>
          <t>Use Pluxee only</t>
        </is>
      </c>
      <c r="E15" s="2" t="inlineStr">
        <is>
          <t>Pluxee</t>
        </is>
      </c>
    </row>
    <row r="16">
      <c r="A16" s="2" t="inlineStr"/>
      <c r="B16" s="2" t="inlineStr">
        <is>
          <t>SALARY OUTFLOW TOTAL</t>
        </is>
      </c>
      <c r="C16" s="3" t="n">
        <v>150200</v>
      </c>
      <c r="D16" s="2" t="inlineStr"/>
      <c r="E16" s="2" t="inlineStr">
        <is>
          <t>Salary</t>
        </is>
      </c>
    </row>
    <row r="17">
      <c r="A17" s="2" t="inlineStr"/>
      <c r="B17" s="2" t="inlineStr">
        <is>
          <t>PROJECTED SALARY SURPLUS</t>
        </is>
      </c>
      <c r="C17" s="3" t="n">
        <v>8653</v>
      </c>
      <c r="D17" s="2" t="inlineStr">
        <is>
          <t>Keep in bank / sweep FD</t>
        </is>
      </c>
      <c r="E17" s="2" t="inlineStr">
        <is>
          <t>Salary</t>
        </is>
      </c>
    </row>
    <row r="18">
      <c r="A18" s="2" t="inlineStr"/>
      <c r="B18" s="2" t="inlineStr">
        <is>
          <t>TOTAL WEALTH BUILDING</t>
        </is>
      </c>
      <c r="C18" s="3" t="n">
        <v>128653</v>
      </c>
      <c r="D18" s="2" t="inlineStr">
        <is>
          <t>Zerodha + savings</t>
        </is>
      </c>
      <c r="E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2026-07-03T02:06:14Z</dcterms:created>
  <dcterms:modified xsi:type="dcterms:W3CDTF">2026-07-03T02:06:14Z</dcterms:modified>
</cp:coreProperties>
</file>